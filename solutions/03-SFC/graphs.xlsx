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Jakub\Desktop\Grafika\NPGR003-23\solutions\03-SFC\"/>
    </mc:Choice>
  </mc:AlternateContent>
  <xr:revisionPtr revIDLastSave="0" documentId="13_ncr:1_{C34C4504-DC9E-4385-AEB1-2E6E7176A8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verage" sheetId="4" r:id="rId1"/>
    <sheet name="Pelican" sheetId="2" r:id="rId2"/>
    <sheet name="Citron" sheetId="1" r:id="rId3"/>
    <sheet name="masa512" sheetId="3" r:id="rId4"/>
    <sheet name="poupe.jpg" sheetId="5" r:id="rId5"/>
    <sheet name="zmrzka.jpg" sheetId="6" r:id="rId6"/>
    <sheet name="egsr1.png" sheetId="7" r:id="rId7"/>
    <sheet name="bottles" sheetId="8" r:id="rId8"/>
    <sheet name="bottlesRotate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9" l="1"/>
  <c r="B15" i="9"/>
  <c r="B14" i="9"/>
  <c r="B13" i="9"/>
  <c r="B12" i="9"/>
  <c r="B11" i="9"/>
  <c r="B16" i="8"/>
  <c r="B15" i="8"/>
  <c r="B14" i="8"/>
  <c r="B13" i="8"/>
  <c r="B12" i="8"/>
  <c r="B11" i="8"/>
  <c r="B16" i="7"/>
  <c r="B15" i="7"/>
  <c r="B14" i="7"/>
  <c r="B13" i="7"/>
  <c r="B12" i="7"/>
  <c r="B11" i="7"/>
  <c r="B16" i="6"/>
  <c r="B15" i="6"/>
  <c r="B14" i="6"/>
  <c r="B13" i="6"/>
  <c r="B12" i="6"/>
  <c r="B11" i="6"/>
  <c r="B16" i="5"/>
  <c r="B15" i="5"/>
  <c r="B14" i="5"/>
  <c r="B13" i="5"/>
  <c r="B12" i="5"/>
  <c r="B11" i="5"/>
  <c r="B16" i="3"/>
  <c r="B15" i="3"/>
  <c r="B14" i="3"/>
  <c r="B13" i="3"/>
  <c r="B12" i="3"/>
  <c r="B11" i="3"/>
  <c r="B2" i="4" s="1"/>
  <c r="B12" i="1"/>
  <c r="B13" i="1"/>
  <c r="B14" i="1"/>
  <c r="B15" i="1"/>
  <c r="B6" i="4" s="1"/>
  <c r="B16" i="1"/>
  <c r="B11" i="1"/>
  <c r="B4" i="4" l="1"/>
  <c r="B5" i="4"/>
  <c r="B7" i="4"/>
  <c r="B3" i="4"/>
</calcChain>
</file>

<file path=xl/sharedStrings.xml><?xml version="1.0" encoding="utf-8"?>
<sst xmlns="http://schemas.openxmlformats.org/spreadsheetml/2006/main" count="224" uniqueCount="15">
  <si>
    <t>Order: ScanLine</t>
  </si>
  <si>
    <t>Order: ZigZag scan</t>
  </si>
  <si>
    <t>Order: Rectangle Spiral</t>
  </si>
  <si>
    <t>Order: Z-order Curve</t>
  </si>
  <si>
    <t>Order: Peano Curve</t>
  </si>
  <si>
    <t>Order: Hilbert Curve</t>
  </si>
  <si>
    <t>Grayscale</t>
  </si>
  <si>
    <t>Entropy Average</t>
  </si>
  <si>
    <t>Entropy total</t>
  </si>
  <si>
    <t>Name</t>
  </si>
  <si>
    <t>Red</t>
  </si>
  <si>
    <t>Green</t>
  </si>
  <si>
    <t>Blue</t>
  </si>
  <si>
    <t>Average Entropy</t>
  </si>
  <si>
    <t>Average of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</si>
</sst>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4" borderId="2" xfId="0" applyFill="1" applyBorder="1"/>
    <xf numFmtId="0" fontId="0" fillId="3" borderId="2" xfId="0" applyFill="1" applyBorder="1"/>
    <xf numFmtId="0" fontId="0" fillId="5" borderId="2" xfId="0" applyFill="1" applyBorder="1"/>
    <xf numFmtId="0" fontId="0" fillId="2" borderId="2" xfId="0" applyFill="1" applyBorder="1"/>
    <xf numFmtId="0" fontId="0" fillId="2" borderId="5" xfId="0" applyFill="1" applyBorder="1" applyAlignment="1">
      <alignment horizontal="center"/>
    </xf>
    <xf numFmtId="0" fontId="0" fillId="0" borderId="4" xfId="0" applyBorder="1"/>
    <xf numFmtId="0" fontId="0" fillId="2" borderId="6" xfId="0" applyFill="1" applyBorder="1"/>
    <xf numFmtId="0" fontId="0" fillId="2" borderId="3" xfId="0" applyFill="1" applyBorder="1" applyAlignment="1">
      <alignment horizontal="center"/>
    </xf>
    <xf numFmtId="0" fontId="0" fillId="2" borderId="10" xfId="0" applyFill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6" borderId="4" xfId="0" applyFill="1" applyBorder="1"/>
    <xf numFmtId="0" fontId="0" fillId="4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ální" xfId="0" builtinId="0"/>
  </cellStyles>
  <dxfs count="73"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  <dxf>
      <font>
        <b/>
        <i val="0"/>
      </font>
      <border>
        <left style="dashDotDot">
          <color auto="1"/>
        </left>
        <right style="dashDotDot">
          <color auto="1"/>
        </right>
        <top style="dashDotDot">
          <color auto="1"/>
        </top>
        <bottom style="dashDotDot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8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Average!$B$1</c:f>
              <c:strCache>
                <c:ptCount val="1"/>
                <c:pt idx="0">
                  <c:v>Average of averages: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Average!$A$2:$A$7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Average!$B$2:$B$7</c:f>
              <c:numCache>
                <c:formatCode>General</c:formatCode>
                <c:ptCount val="6"/>
                <c:pt idx="0">
                  <c:v>5895551.78125</c:v>
                </c:pt>
                <c:pt idx="1">
                  <c:v>5880913.46875</c:v>
                </c:pt>
                <c:pt idx="2">
                  <c:v>6002625.875</c:v>
                </c:pt>
                <c:pt idx="3">
                  <c:v>7065465.25</c:v>
                </c:pt>
                <c:pt idx="4">
                  <c:v>6575748.46875</c:v>
                </c:pt>
                <c:pt idx="5">
                  <c:v>6384121.65625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3-4DC7-9DBC-687D0F0DCE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1335200"/>
        <c:axId val="1411336280"/>
      </c:barChart>
      <c:catAx>
        <c:axId val="14113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1336280"/>
        <c:crosses val="autoZero"/>
        <c:auto val="1"/>
        <c:lblAlgn val="ctr"/>
        <c:lblOffset val="100"/>
        <c:noMultiLvlLbl val="0"/>
      </c:catAx>
      <c:valAx>
        <c:axId val="141133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13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Pelican!$B$10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Pelican!$A$11:$A$16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Pelican!$B$11:$B$16</c:f>
              <c:numCache>
                <c:formatCode>General</c:formatCode>
                <c:ptCount val="6"/>
                <c:pt idx="0">
                  <c:v>8745848.25</c:v>
                </c:pt>
                <c:pt idx="1">
                  <c:v>8737937</c:v>
                </c:pt>
                <c:pt idx="2">
                  <c:v>9414763.75</c:v>
                </c:pt>
                <c:pt idx="3">
                  <c:v>11395844.75</c:v>
                </c:pt>
                <c:pt idx="4">
                  <c:v>10558345.5</c:v>
                </c:pt>
                <c:pt idx="5">
                  <c:v>10133671.75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F-4771-90DF-C9EA9CF264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0514400"/>
        <c:axId val="750514760"/>
      </c:barChart>
      <c:catAx>
        <c:axId val="75051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0514760"/>
        <c:crosses val="autoZero"/>
        <c:auto val="1"/>
        <c:lblAlgn val="ctr"/>
        <c:lblOffset val="100"/>
        <c:noMultiLvlLbl val="0"/>
      </c:catAx>
      <c:valAx>
        <c:axId val="75051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051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Citron!$B$10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Citron!$A$11:$A$16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Citron!$B$11:$B$16</c:f>
              <c:numCache>
                <c:formatCode>General</c:formatCode>
                <c:ptCount val="6"/>
                <c:pt idx="0">
                  <c:v>5536044.25</c:v>
                </c:pt>
                <c:pt idx="1">
                  <c:v>5518060.25</c:v>
                </c:pt>
                <c:pt idx="2">
                  <c:v>5576200.75</c:v>
                </c:pt>
                <c:pt idx="3">
                  <c:v>6195680.75</c:v>
                </c:pt>
                <c:pt idx="4">
                  <c:v>5937306.25</c:v>
                </c:pt>
                <c:pt idx="5">
                  <c:v>5796855.5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B-4E25-A1F4-E4D868F450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masa512!$B$10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masa512!$A$11:$A$16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masa512!$B$11:$B$16</c:f>
              <c:numCache>
                <c:formatCode>General</c:formatCode>
                <c:ptCount val="6"/>
                <c:pt idx="0">
                  <c:v>1348067</c:v>
                </c:pt>
                <c:pt idx="1">
                  <c:v>1340290</c:v>
                </c:pt>
                <c:pt idx="2">
                  <c:v>1359970</c:v>
                </c:pt>
                <c:pt idx="3">
                  <c:v>1653481</c:v>
                </c:pt>
                <c:pt idx="4">
                  <c:v>1504435</c:v>
                </c:pt>
                <c:pt idx="5">
                  <c:v>1488823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B-4BDF-A97F-B9D926B48E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poupe.jpg!$B$10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poupe.jpg!$A$11:$A$16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poupe.jpg!$B$11:$B$16</c:f>
              <c:numCache>
                <c:formatCode>General</c:formatCode>
                <c:ptCount val="6"/>
                <c:pt idx="0">
                  <c:v>8832516.25</c:v>
                </c:pt>
                <c:pt idx="1">
                  <c:v>8818346.25</c:v>
                </c:pt>
                <c:pt idx="2">
                  <c:v>8810601.5</c:v>
                </c:pt>
                <c:pt idx="3">
                  <c:v>10325467.75</c:v>
                </c:pt>
                <c:pt idx="4">
                  <c:v>9336846</c:v>
                </c:pt>
                <c:pt idx="5">
                  <c:v>9183351.75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6D4-B7EF-7E310884A0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zmrzka.jpg!$B$10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zmrzka.jpg!$A$11:$A$16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zmrzka.jpg!$B$11:$B$16</c:f>
              <c:numCache>
                <c:formatCode>General</c:formatCode>
                <c:ptCount val="6"/>
                <c:pt idx="0">
                  <c:v>9316967</c:v>
                </c:pt>
                <c:pt idx="1">
                  <c:v>9308224.25</c:v>
                </c:pt>
                <c:pt idx="2">
                  <c:v>9667416.75</c:v>
                </c:pt>
                <c:pt idx="3">
                  <c:v>11029309.75</c:v>
                </c:pt>
                <c:pt idx="4">
                  <c:v>10469232.25</c:v>
                </c:pt>
                <c:pt idx="5">
                  <c:v>10272682.5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F-468E-8795-8F8840C9E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egsr1.png!$B$10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egsr1.png!$A$11:$A$16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egsr1.png!$B$11:$B$16</c:f>
              <c:numCache>
                <c:formatCode>General</c:formatCode>
                <c:ptCount val="6"/>
                <c:pt idx="0">
                  <c:v>4613532</c:v>
                </c:pt>
                <c:pt idx="1">
                  <c:v>4593812</c:v>
                </c:pt>
                <c:pt idx="2">
                  <c:v>4587079</c:v>
                </c:pt>
                <c:pt idx="3">
                  <c:v>6015469</c:v>
                </c:pt>
                <c:pt idx="4">
                  <c:v>5232951</c:v>
                </c:pt>
                <c:pt idx="5">
                  <c:v>5189277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E-403F-A2C6-24EA8EBA1E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bottles!$B$10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bottles!$A$11:$A$16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bottles!$B$11:$B$16</c:f>
              <c:numCache>
                <c:formatCode>General</c:formatCode>
                <c:ptCount val="6"/>
                <c:pt idx="0">
                  <c:v>4229313.75</c:v>
                </c:pt>
                <c:pt idx="1">
                  <c:v>4205608</c:v>
                </c:pt>
                <c:pt idx="2">
                  <c:v>4275398.25</c:v>
                </c:pt>
                <c:pt idx="3">
                  <c:v>4944459.75</c:v>
                </c:pt>
                <c:pt idx="4">
                  <c:v>4905029.75</c:v>
                </c:pt>
                <c:pt idx="5">
                  <c:v>4544788.75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6-4CB2-93E6-8506CB3B8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bottlesRotated!$B$10</c:f>
              <c:strCache>
                <c:ptCount val="1"/>
                <c:pt idx="0">
                  <c:v>Average Entropy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bottlesRotated!$A$11:$A$16</c:f>
              <c:strCache>
                <c:ptCount val="6"/>
                <c:pt idx="0">
                  <c:v>Order: ScanLine</c:v>
                </c:pt>
                <c:pt idx="1">
                  <c:v>Order: ZigZag scan</c:v>
                </c:pt>
                <c:pt idx="2">
                  <c:v>Order: Rectangle Spiral</c:v>
                </c:pt>
                <c:pt idx="3">
                  <c:v>Order: Z-order Curve</c:v>
                </c:pt>
                <c:pt idx="4">
                  <c:v>Order: Peano Curve</c:v>
                </c:pt>
                <c:pt idx="5">
                  <c:v>Order: Hilbert Curve</c:v>
                </c:pt>
              </c:strCache>
            </c:strRef>
          </c:cat>
          <c:val>
            <c:numRef>
              <c:f>bottlesRotated!$B$11:$B$16</c:f>
              <c:numCache>
                <c:formatCode>General</c:formatCode>
                <c:ptCount val="6"/>
                <c:pt idx="0">
                  <c:v>4542125.75</c:v>
                </c:pt>
                <c:pt idx="1">
                  <c:v>4517253</c:v>
                </c:pt>
                <c:pt idx="2">
                  <c:v>4341480</c:v>
                </c:pt>
                <c:pt idx="3">
                  <c:v>5269423.25</c:v>
                </c:pt>
                <c:pt idx="4">
                  <c:v>4818210</c:v>
                </c:pt>
                <c:pt idx="5">
                  <c:v>4604279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2-4C8D-BC0B-B1E2F50B49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794880"/>
        <c:axId val="754795240"/>
      </c:barChart>
      <c:catAx>
        <c:axId val="7547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5240"/>
        <c:crosses val="autoZero"/>
        <c:auto val="1"/>
        <c:lblAlgn val="ctr"/>
        <c:lblOffset val="100"/>
        <c:noMultiLvlLbl val="0"/>
      </c:catAx>
      <c:valAx>
        <c:axId val="7547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54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22224</xdr:colOff>
      <xdr:row>0</xdr:row>
      <xdr:rowOff>0</xdr:rowOff>
    </xdr:from>
    <xdr:to>
      <xdr:col>13</xdr:col>
      <xdr:colOff>254000</xdr:colOff>
      <xdr:row>17</xdr:row>
      <xdr:rowOff>3175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59FAF88-E23B-61F2-ECD3-003B254E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9</xdr:row>
      <xdr:rowOff>3175</xdr:rowOff>
    </xdr:from>
    <xdr:to>
      <xdr:col>7</xdr:col>
      <xdr:colOff>695325</xdr:colOff>
      <xdr:row>23</xdr:row>
      <xdr:rowOff>168275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B8E66D9-38CE-2328-0539-36BB188FE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727075</xdr:colOff>
      <xdr:row>9</xdr:row>
      <xdr:rowOff>9525</xdr:rowOff>
    </xdr:from>
    <xdr:to>
      <xdr:col>8</xdr:col>
      <xdr:colOff>3175</xdr:colOff>
      <xdr:row>23</xdr:row>
      <xdr:rowOff>174625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7A51F025-029E-C1B8-40EF-BC9319A50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9</xdr:row>
      <xdr:rowOff>3175</xdr:rowOff>
    </xdr:from>
    <xdr:to>
      <xdr:col>8</xdr:col>
      <xdr:colOff>92075</xdr:colOff>
      <xdr:row>23</xdr:row>
      <xdr:rowOff>168275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5F38C89-CBF3-45CF-87E1-56471E626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9</xdr:row>
      <xdr:rowOff>9525</xdr:rowOff>
    </xdr:from>
    <xdr:to>
      <xdr:col>8</xdr:col>
      <xdr:colOff>98425</xdr:colOff>
      <xdr:row>23</xdr:row>
      <xdr:rowOff>174625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730759A-1A3B-4F8C-84E7-8B4A5B026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9</xdr:row>
      <xdr:rowOff>9525</xdr:rowOff>
    </xdr:from>
    <xdr:to>
      <xdr:col>8</xdr:col>
      <xdr:colOff>92075</xdr:colOff>
      <xdr:row>23</xdr:row>
      <xdr:rowOff>174625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7F165A5-F6C9-45E8-8D38-7E3E9D749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9</xdr:row>
      <xdr:rowOff>3175</xdr:rowOff>
    </xdr:from>
    <xdr:to>
      <xdr:col>8</xdr:col>
      <xdr:colOff>92075</xdr:colOff>
      <xdr:row>23</xdr:row>
      <xdr:rowOff>168275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9852A04-32E9-4839-B400-FA7B790D5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9</xdr:row>
      <xdr:rowOff>3175</xdr:rowOff>
    </xdr:from>
    <xdr:to>
      <xdr:col>8</xdr:col>
      <xdr:colOff>92075</xdr:colOff>
      <xdr:row>23</xdr:row>
      <xdr:rowOff>168275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C6FD3E4-D757-408A-8233-3EB8916F0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8</xdr:row>
      <xdr:rowOff>168275</xdr:rowOff>
    </xdr:from>
    <xdr:to>
      <xdr:col>8</xdr:col>
      <xdr:colOff>92075</xdr:colOff>
      <xdr:row>23</xdr:row>
      <xdr:rowOff>149225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90885E4-1448-4E6A-B7FA-FA301D90F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602D-1DD1-4A2F-BBE6-A832985B90ED}">
  <dimension ref="A1:B7"/>
  <sheetViews>
    <sheetView tabSelected="1" zoomScaleNormal="100" workbookViewId="0">
      <selection activeCell="P7" sqref="P7"/>
    </sheetView>
  </sheetViews>
  <sheetFormatPr defaultRowHeight="14.5" x14ac:dyDescent="0.35"/>
  <cols>
    <col min="1" max="1" width="20" bestFit="1" customWidth="1"/>
    <col min="2" max="2" width="18.26953125" bestFit="1" customWidth="1"/>
  </cols>
  <sheetData>
    <row r="1" spans="1:2" ht="15" thickBot="1" x14ac:dyDescent="0.4">
      <c r="A1" s="6" t="s">
        <v>9</v>
      </c>
      <c r="B1" s="14" t="s">
        <v>14</v>
      </c>
    </row>
    <row r="2" spans="1:2" x14ac:dyDescent="0.35">
      <c r="A2" s="1" t="s">
        <v>0</v>
      </c>
      <c r="B2" s="12">
        <f>AVERAGEA(bottlesRotated!B11,bottles!B11,egsr1.png!B11,zmrzka.jpg!B11,poupe.jpg!B11,masa512!$B$11,Citron!B11,Pelican!B11)</f>
        <v>5895551.78125</v>
      </c>
    </row>
    <row r="3" spans="1:2" x14ac:dyDescent="0.35">
      <c r="A3" s="1" t="s">
        <v>1</v>
      </c>
      <c r="B3" s="12">
        <f>AVERAGEA(bottlesRotated!B12,bottles!B12,egsr1.png!B12,zmrzka.jpg!B12,poupe.jpg!B12,masa512!$B$11,Citron!B12,Pelican!B12)</f>
        <v>5880913.46875</v>
      </c>
    </row>
    <row r="4" spans="1:2" x14ac:dyDescent="0.35">
      <c r="A4" s="1" t="s">
        <v>2</v>
      </c>
      <c r="B4" s="12">
        <f>AVERAGEA(bottlesRotated!B13,bottles!B13,egsr1.png!B13,zmrzka.jpg!B13,poupe.jpg!B13,masa512!$B$11,Citron!B13,Pelican!B13)</f>
        <v>6002625.875</v>
      </c>
    </row>
    <row r="5" spans="1:2" x14ac:dyDescent="0.35">
      <c r="A5" s="1" t="s">
        <v>3</v>
      </c>
      <c r="B5" s="12">
        <f>AVERAGEA(bottlesRotated!B14,bottles!B14,egsr1.png!B14,zmrzka.jpg!B14,poupe.jpg!B14,masa512!$B$11,Citron!B14,Pelican!B14)</f>
        <v>7065465.25</v>
      </c>
    </row>
    <row r="6" spans="1:2" x14ac:dyDescent="0.35">
      <c r="A6" s="1" t="s">
        <v>4</v>
      </c>
      <c r="B6" s="12">
        <f>AVERAGEA(bottlesRotated!B15,bottles!B15,egsr1.png!B15,zmrzka.jpg!B15,poupe.jpg!B15,masa512!$B$11,Citron!B15,Pelican!B15)</f>
        <v>6575748.46875</v>
      </c>
    </row>
    <row r="7" spans="1:2" x14ac:dyDescent="0.35">
      <c r="A7" s="11" t="s">
        <v>5</v>
      </c>
      <c r="B7" s="13">
        <f>AVERAGEA(bottlesRotated!B16,bottles!B16,egsr1.png!B16,zmrzka.jpg!B16,poupe.jpg!B16,masa512!$B$11,Citron!B16,Pelican!B16)</f>
        <v>6384121.65625</v>
      </c>
    </row>
  </sheetData>
  <conditionalFormatting sqref="B2:B7">
    <cfRule type="top10" dxfId="72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6178-834D-407D-AC5E-90BA0EC2176F}">
  <dimension ref="A1:I16"/>
  <sheetViews>
    <sheetView workbookViewId="0">
      <selection activeCell="A26" sqref="A26"/>
    </sheetView>
  </sheetViews>
  <sheetFormatPr defaultRowHeight="14.5" x14ac:dyDescent="0.35"/>
  <cols>
    <col min="1" max="1" width="48.54296875" bestFit="1" customWidth="1"/>
    <col min="2" max="2" width="14.6328125" bestFit="1" customWidth="1"/>
    <col min="3" max="4" width="11.6328125" bestFit="1" customWidth="1"/>
    <col min="5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8519319</v>
      </c>
      <c r="C3">
        <v>2.95</v>
      </c>
      <c r="D3">
        <v>8719401</v>
      </c>
      <c r="E3">
        <v>3.02</v>
      </c>
      <c r="F3">
        <v>8786553</v>
      </c>
      <c r="G3">
        <v>3.04</v>
      </c>
      <c r="H3">
        <v>8958120</v>
      </c>
      <c r="I3">
        <v>3.1</v>
      </c>
    </row>
    <row r="4" spans="1:9" x14ac:dyDescent="0.35">
      <c r="A4" t="s">
        <v>1</v>
      </c>
      <c r="B4">
        <v>8510395</v>
      </c>
      <c r="C4">
        <v>2.95</v>
      </c>
      <c r="D4">
        <v>8710853</v>
      </c>
      <c r="E4">
        <v>3.02</v>
      </c>
      <c r="F4">
        <v>8777120</v>
      </c>
      <c r="G4">
        <v>3.04</v>
      </c>
      <c r="H4">
        <v>8953380</v>
      </c>
      <c r="I4">
        <v>3.1</v>
      </c>
    </row>
    <row r="5" spans="1:9" x14ac:dyDescent="0.35">
      <c r="A5" t="s">
        <v>2</v>
      </c>
      <c r="B5">
        <v>9208858</v>
      </c>
      <c r="C5">
        <v>3.19</v>
      </c>
      <c r="D5">
        <v>9394022</v>
      </c>
      <c r="E5">
        <v>3.25</v>
      </c>
      <c r="F5">
        <v>9482448</v>
      </c>
      <c r="G5">
        <v>3.29</v>
      </c>
      <c r="H5">
        <v>9573727</v>
      </c>
      <c r="I5">
        <v>3.32</v>
      </c>
    </row>
    <row r="6" spans="1:9" x14ac:dyDescent="0.35">
      <c r="A6" t="s">
        <v>3</v>
      </c>
      <c r="B6">
        <v>11370905</v>
      </c>
      <c r="C6">
        <v>3.94</v>
      </c>
      <c r="D6">
        <v>11336422</v>
      </c>
      <c r="E6">
        <v>3.93</v>
      </c>
      <c r="F6">
        <v>11596142</v>
      </c>
      <c r="G6">
        <v>4.0199999999999996</v>
      </c>
      <c r="H6">
        <v>11279910</v>
      </c>
      <c r="I6">
        <v>3.91</v>
      </c>
    </row>
    <row r="7" spans="1:9" x14ac:dyDescent="0.35">
      <c r="A7" t="s">
        <v>4</v>
      </c>
      <c r="B7">
        <v>10437538</v>
      </c>
      <c r="C7">
        <v>3.62</v>
      </c>
      <c r="D7">
        <v>10501427</v>
      </c>
      <c r="E7">
        <v>3.64</v>
      </c>
      <c r="F7">
        <v>10713695</v>
      </c>
      <c r="G7">
        <v>3.71</v>
      </c>
      <c r="H7">
        <v>10580722</v>
      </c>
      <c r="I7">
        <v>3.67</v>
      </c>
    </row>
    <row r="8" spans="1:9" x14ac:dyDescent="0.35">
      <c r="A8" t="s">
        <v>5</v>
      </c>
      <c r="B8">
        <v>10034896</v>
      </c>
      <c r="C8">
        <v>3.48</v>
      </c>
      <c r="D8">
        <v>10075763</v>
      </c>
      <c r="E8">
        <v>3.49</v>
      </c>
      <c r="F8">
        <v>10271287</v>
      </c>
      <c r="G8">
        <v>3.56</v>
      </c>
      <c r="H8">
        <v>10152741</v>
      </c>
      <c r="I8">
        <v>3.52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v>8745848.25</v>
      </c>
    </row>
    <row r="12" spans="1:9" x14ac:dyDescent="0.35">
      <c r="A12" t="s">
        <v>1</v>
      </c>
      <c r="B12">
        <v>8737937</v>
      </c>
    </row>
    <row r="13" spans="1:9" x14ac:dyDescent="0.35">
      <c r="A13" t="s">
        <v>2</v>
      </c>
      <c r="B13">
        <v>9414763.75</v>
      </c>
    </row>
    <row r="14" spans="1:9" x14ac:dyDescent="0.35">
      <c r="A14" t="s">
        <v>3</v>
      </c>
      <c r="B14">
        <v>11395844.75</v>
      </c>
    </row>
    <row r="15" spans="1:9" x14ac:dyDescent="0.35">
      <c r="A15" t="s">
        <v>4</v>
      </c>
      <c r="B15">
        <v>10558345.5</v>
      </c>
    </row>
    <row r="16" spans="1:9" x14ac:dyDescent="0.35">
      <c r="A16" t="s">
        <v>5</v>
      </c>
      <c r="B16">
        <v>10133671.75</v>
      </c>
    </row>
  </sheetData>
  <mergeCells count="4">
    <mergeCell ref="B1:C1"/>
    <mergeCell ref="D1:E1"/>
    <mergeCell ref="F1:G1"/>
    <mergeCell ref="H1:I1"/>
  </mergeCells>
  <conditionalFormatting sqref="B3:B8">
    <cfRule type="top10" dxfId="71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70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69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68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67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66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65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64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63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2" width="14.6328125" bestFit="1" customWidth="1"/>
    <col min="3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5343976</v>
      </c>
      <c r="C3">
        <v>5.0999999999999996</v>
      </c>
      <c r="D3">
        <v>5562279</v>
      </c>
      <c r="E3">
        <v>5.3</v>
      </c>
      <c r="F3">
        <v>5423593</v>
      </c>
      <c r="G3">
        <v>5.17</v>
      </c>
      <c r="H3">
        <v>5814329</v>
      </c>
      <c r="I3">
        <v>5.54</v>
      </c>
    </row>
    <row r="4" spans="1:9" x14ac:dyDescent="0.35">
      <c r="A4" t="s">
        <v>1</v>
      </c>
      <c r="B4">
        <v>5325216</v>
      </c>
      <c r="C4">
        <v>5.08</v>
      </c>
      <c r="D4">
        <v>5543281</v>
      </c>
      <c r="E4">
        <v>5.29</v>
      </c>
      <c r="F4">
        <v>5404799</v>
      </c>
      <c r="G4">
        <v>5.15</v>
      </c>
      <c r="H4">
        <v>5798945</v>
      </c>
      <c r="I4">
        <v>5.53</v>
      </c>
    </row>
    <row r="5" spans="1:9" x14ac:dyDescent="0.35">
      <c r="A5" t="s">
        <v>2</v>
      </c>
      <c r="B5">
        <v>5382418</v>
      </c>
      <c r="C5">
        <v>5.13</v>
      </c>
      <c r="D5">
        <v>5602735</v>
      </c>
      <c r="E5">
        <v>5.34</v>
      </c>
      <c r="F5">
        <v>5458759</v>
      </c>
      <c r="G5">
        <v>5.21</v>
      </c>
      <c r="H5">
        <v>5860891</v>
      </c>
      <c r="I5">
        <v>5.59</v>
      </c>
    </row>
    <row r="6" spans="1:9" x14ac:dyDescent="0.35">
      <c r="A6" t="s">
        <v>3</v>
      </c>
      <c r="B6">
        <v>6157746</v>
      </c>
      <c r="C6">
        <v>5.87</v>
      </c>
      <c r="D6">
        <v>6198505</v>
      </c>
      <c r="E6">
        <v>5.91</v>
      </c>
      <c r="F6">
        <v>6175586</v>
      </c>
      <c r="G6">
        <v>5.89</v>
      </c>
      <c r="H6">
        <v>6250886</v>
      </c>
      <c r="I6">
        <v>5.96</v>
      </c>
    </row>
    <row r="7" spans="1:9" x14ac:dyDescent="0.35">
      <c r="A7" t="s">
        <v>4</v>
      </c>
      <c r="B7">
        <v>5803767</v>
      </c>
      <c r="C7">
        <v>5.53</v>
      </c>
      <c r="D7">
        <v>5949931</v>
      </c>
      <c r="E7">
        <v>5.67</v>
      </c>
      <c r="F7">
        <v>5860389</v>
      </c>
      <c r="G7">
        <v>5.59</v>
      </c>
      <c r="H7">
        <v>6135138</v>
      </c>
      <c r="I7">
        <v>5.85</v>
      </c>
    </row>
    <row r="8" spans="1:9" x14ac:dyDescent="0.35">
      <c r="A8" t="s">
        <v>5</v>
      </c>
      <c r="B8">
        <v>5731874</v>
      </c>
      <c r="C8">
        <v>5.47</v>
      </c>
      <c r="D8">
        <v>5803095</v>
      </c>
      <c r="E8">
        <v>5.53</v>
      </c>
      <c r="F8">
        <v>5760259</v>
      </c>
      <c r="G8">
        <v>5.49</v>
      </c>
      <c r="H8">
        <v>5892194</v>
      </c>
      <c r="I8">
        <v>5.62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5536044.25</v>
      </c>
    </row>
    <row r="12" spans="1:9" x14ac:dyDescent="0.35">
      <c r="A12" t="s">
        <v>1</v>
      </c>
      <c r="B12">
        <f t="shared" ref="B12:B16" si="0">AVERAGEA(B4,D4,F4,H4)</f>
        <v>5518060.25</v>
      </c>
    </row>
    <row r="13" spans="1:9" x14ac:dyDescent="0.35">
      <c r="A13" t="s">
        <v>2</v>
      </c>
      <c r="B13">
        <f t="shared" si="0"/>
        <v>5576200.75</v>
      </c>
    </row>
    <row r="14" spans="1:9" x14ac:dyDescent="0.35">
      <c r="A14" t="s">
        <v>3</v>
      </c>
      <c r="B14">
        <f t="shared" si="0"/>
        <v>6195680.75</v>
      </c>
    </row>
    <row r="15" spans="1:9" x14ac:dyDescent="0.35">
      <c r="A15" t="s">
        <v>4</v>
      </c>
      <c r="B15">
        <f t="shared" si="0"/>
        <v>5937306.25</v>
      </c>
    </row>
    <row r="16" spans="1:9" x14ac:dyDescent="0.35">
      <c r="A16" t="s">
        <v>5</v>
      </c>
      <c r="B16">
        <f t="shared" si="0"/>
        <v>5796855.5</v>
      </c>
    </row>
  </sheetData>
  <mergeCells count="4">
    <mergeCell ref="B1:C1"/>
    <mergeCell ref="D1:E1"/>
    <mergeCell ref="F1:G1"/>
    <mergeCell ref="H1:I1"/>
  </mergeCells>
  <conditionalFormatting sqref="B3:B8">
    <cfRule type="top10" dxfId="62" priority="17" bottom="1" rank="1"/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61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60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59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9">
    <cfRule type="top10" dxfId="58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57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56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9">
    <cfRule type="top10" dxfId="55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54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7EF2-61A1-4CE1-A763-BEF72D19B48E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2" width="14.6328125" bestFit="1" customWidth="1"/>
    <col min="3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1348067</v>
      </c>
      <c r="C3">
        <v>5.14</v>
      </c>
      <c r="D3">
        <v>1348067</v>
      </c>
      <c r="E3">
        <v>5.14</v>
      </c>
      <c r="F3">
        <v>1348067</v>
      </c>
      <c r="G3">
        <v>5.14</v>
      </c>
      <c r="H3">
        <v>1348067</v>
      </c>
      <c r="I3">
        <v>5.14</v>
      </c>
    </row>
    <row r="4" spans="1:9" x14ac:dyDescent="0.35">
      <c r="A4" t="s">
        <v>1</v>
      </c>
      <c r="B4">
        <v>1340290</v>
      </c>
      <c r="C4">
        <v>5.1100000000000003</v>
      </c>
      <c r="D4">
        <v>1340290</v>
      </c>
      <c r="E4">
        <v>5.1100000000000003</v>
      </c>
      <c r="F4">
        <v>1340290</v>
      </c>
      <c r="G4">
        <v>5.1100000000000003</v>
      </c>
      <c r="H4">
        <v>1340290</v>
      </c>
      <c r="I4">
        <v>5.1100000000000003</v>
      </c>
    </row>
    <row r="5" spans="1:9" x14ac:dyDescent="0.35">
      <c r="A5" t="s">
        <v>2</v>
      </c>
      <c r="B5">
        <v>1359970</v>
      </c>
      <c r="C5">
        <v>5.19</v>
      </c>
      <c r="D5">
        <v>1359970</v>
      </c>
      <c r="E5">
        <v>5.19</v>
      </c>
      <c r="F5">
        <v>1359970</v>
      </c>
      <c r="G5">
        <v>5.19</v>
      </c>
      <c r="H5">
        <v>1359970</v>
      </c>
      <c r="I5">
        <v>5.19</v>
      </c>
    </row>
    <row r="6" spans="1:9" x14ac:dyDescent="0.35">
      <c r="A6" t="s">
        <v>3</v>
      </c>
      <c r="B6">
        <v>1653481</v>
      </c>
      <c r="C6">
        <v>6.31</v>
      </c>
      <c r="D6">
        <v>1653481</v>
      </c>
      <c r="E6">
        <v>6.31</v>
      </c>
      <c r="F6">
        <v>1653481</v>
      </c>
      <c r="G6">
        <v>6.31</v>
      </c>
      <c r="H6">
        <v>1653481</v>
      </c>
      <c r="I6">
        <v>6.31</v>
      </c>
    </row>
    <row r="7" spans="1:9" x14ac:dyDescent="0.35">
      <c r="A7" t="s">
        <v>4</v>
      </c>
      <c r="B7">
        <v>1504435</v>
      </c>
      <c r="C7">
        <v>5.74</v>
      </c>
      <c r="D7">
        <v>1504435</v>
      </c>
      <c r="E7">
        <v>5.74</v>
      </c>
      <c r="F7">
        <v>1504435</v>
      </c>
      <c r="G7">
        <v>5.74</v>
      </c>
      <c r="H7">
        <v>1504435</v>
      </c>
      <c r="I7">
        <v>5.74</v>
      </c>
    </row>
    <row r="8" spans="1:9" x14ac:dyDescent="0.35">
      <c r="A8" t="s">
        <v>5</v>
      </c>
      <c r="B8">
        <v>1488823</v>
      </c>
      <c r="C8">
        <v>5.68</v>
      </c>
      <c r="D8">
        <v>1488823</v>
      </c>
      <c r="E8">
        <v>5.68</v>
      </c>
      <c r="F8">
        <v>1488823</v>
      </c>
      <c r="G8">
        <v>5.68</v>
      </c>
      <c r="H8">
        <v>1488823</v>
      </c>
      <c r="I8">
        <v>5.68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1348067</v>
      </c>
    </row>
    <row r="12" spans="1:9" x14ac:dyDescent="0.35">
      <c r="A12" t="s">
        <v>1</v>
      </c>
      <c r="B12">
        <f t="shared" ref="B12:B16" si="0">AVERAGEA(B4,D4,F4,H4)</f>
        <v>1340290</v>
      </c>
    </row>
    <row r="13" spans="1:9" x14ac:dyDescent="0.35">
      <c r="A13" t="s">
        <v>2</v>
      </c>
      <c r="B13">
        <f t="shared" si="0"/>
        <v>1359970</v>
      </c>
    </row>
    <row r="14" spans="1:9" x14ac:dyDescent="0.35">
      <c r="A14" t="s">
        <v>3</v>
      </c>
      <c r="B14">
        <f t="shared" si="0"/>
        <v>1653481</v>
      </c>
    </row>
    <row r="15" spans="1:9" x14ac:dyDescent="0.35">
      <c r="A15" t="s">
        <v>4</v>
      </c>
      <c r="B15">
        <f t="shared" si="0"/>
        <v>1504435</v>
      </c>
    </row>
    <row r="16" spans="1:9" x14ac:dyDescent="0.35">
      <c r="A16" t="s">
        <v>5</v>
      </c>
      <c r="B16">
        <f t="shared" si="0"/>
        <v>1488823</v>
      </c>
    </row>
  </sheetData>
  <mergeCells count="4">
    <mergeCell ref="B1:C1"/>
    <mergeCell ref="D1:E1"/>
    <mergeCell ref="F1:G1"/>
    <mergeCell ref="H1:I1"/>
  </mergeCells>
  <conditionalFormatting sqref="B3:B8">
    <cfRule type="top10" dxfId="53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52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51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50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49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48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47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46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45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245F-DD8E-44B4-A0D0-C56A26DCA621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2" width="14.6328125" bestFit="1" customWidth="1"/>
    <col min="3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8837384</v>
      </c>
      <c r="C3">
        <v>3.24</v>
      </c>
      <c r="D3">
        <v>8628140</v>
      </c>
      <c r="E3">
        <v>3.16</v>
      </c>
      <c r="F3">
        <v>9316289</v>
      </c>
      <c r="G3">
        <v>3.42</v>
      </c>
      <c r="H3">
        <v>8548252</v>
      </c>
      <c r="I3">
        <v>3.14</v>
      </c>
    </row>
    <row r="4" spans="1:9" x14ac:dyDescent="0.35">
      <c r="A4" t="s">
        <v>1</v>
      </c>
      <c r="B4">
        <v>8819997</v>
      </c>
      <c r="C4">
        <v>3.23</v>
      </c>
      <c r="D4">
        <v>8616617</v>
      </c>
      <c r="E4">
        <v>3.16</v>
      </c>
      <c r="F4">
        <v>9296334</v>
      </c>
      <c r="G4">
        <v>3.41</v>
      </c>
      <c r="H4">
        <v>8540437</v>
      </c>
      <c r="I4">
        <v>3.13</v>
      </c>
    </row>
    <row r="5" spans="1:9" x14ac:dyDescent="0.35">
      <c r="A5" t="s">
        <v>2</v>
      </c>
      <c r="B5">
        <v>8810848</v>
      </c>
      <c r="C5">
        <v>3.23</v>
      </c>
      <c r="D5">
        <v>8607505</v>
      </c>
      <c r="E5">
        <v>3.16</v>
      </c>
      <c r="F5">
        <v>9286987</v>
      </c>
      <c r="G5">
        <v>3.41</v>
      </c>
      <c r="H5">
        <v>8537066</v>
      </c>
      <c r="I5">
        <v>3.13</v>
      </c>
    </row>
    <row r="6" spans="1:9" x14ac:dyDescent="0.35">
      <c r="A6" t="s">
        <v>3</v>
      </c>
      <c r="B6">
        <v>10499862</v>
      </c>
      <c r="C6">
        <v>3.85</v>
      </c>
      <c r="D6">
        <v>10001141</v>
      </c>
      <c r="E6">
        <v>3.67</v>
      </c>
      <c r="F6">
        <v>11021534</v>
      </c>
      <c r="G6">
        <v>4.04</v>
      </c>
      <c r="H6">
        <v>9779334</v>
      </c>
      <c r="I6">
        <v>3.59</v>
      </c>
    </row>
    <row r="7" spans="1:9" x14ac:dyDescent="0.35">
      <c r="A7" t="s">
        <v>4</v>
      </c>
      <c r="B7">
        <v>9398294</v>
      </c>
      <c r="C7">
        <v>3.45</v>
      </c>
      <c r="D7">
        <v>9084122</v>
      </c>
      <c r="E7">
        <v>3.33</v>
      </c>
      <c r="F7">
        <v>9921470</v>
      </c>
      <c r="G7">
        <v>3.64</v>
      </c>
      <c r="H7">
        <v>8943498</v>
      </c>
      <c r="I7">
        <v>3.28</v>
      </c>
    </row>
    <row r="8" spans="1:9" x14ac:dyDescent="0.35">
      <c r="A8" t="s">
        <v>5</v>
      </c>
      <c r="B8">
        <v>9252141</v>
      </c>
      <c r="C8">
        <v>3.39</v>
      </c>
      <c r="D8">
        <v>8941214</v>
      </c>
      <c r="E8">
        <v>3.28</v>
      </c>
      <c r="F8">
        <v>9735235</v>
      </c>
      <c r="G8">
        <v>3.57</v>
      </c>
      <c r="H8">
        <v>8804817</v>
      </c>
      <c r="I8">
        <v>3.23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8832516.25</v>
      </c>
    </row>
    <row r="12" spans="1:9" x14ac:dyDescent="0.35">
      <c r="A12" t="s">
        <v>1</v>
      </c>
      <c r="B12">
        <f t="shared" ref="B12:B16" si="0">AVERAGEA(B4,D4,F4,H4)</f>
        <v>8818346.25</v>
      </c>
    </row>
    <row r="13" spans="1:9" x14ac:dyDescent="0.35">
      <c r="A13" t="s">
        <v>2</v>
      </c>
      <c r="B13">
        <f t="shared" si="0"/>
        <v>8810601.5</v>
      </c>
    </row>
    <row r="14" spans="1:9" x14ac:dyDescent="0.35">
      <c r="A14" t="s">
        <v>3</v>
      </c>
      <c r="B14">
        <f t="shared" si="0"/>
        <v>10325467.75</v>
      </c>
    </row>
    <row r="15" spans="1:9" x14ac:dyDescent="0.35">
      <c r="A15" t="s">
        <v>4</v>
      </c>
      <c r="B15">
        <f t="shared" si="0"/>
        <v>9336846</v>
      </c>
    </row>
    <row r="16" spans="1:9" x14ac:dyDescent="0.35">
      <c r="A16" t="s">
        <v>5</v>
      </c>
      <c r="B16">
        <f t="shared" si="0"/>
        <v>9183351.75</v>
      </c>
    </row>
  </sheetData>
  <mergeCells count="4">
    <mergeCell ref="B1:C1"/>
    <mergeCell ref="D1:E1"/>
    <mergeCell ref="F1:G1"/>
    <mergeCell ref="H1:I1"/>
  </mergeCells>
  <conditionalFormatting sqref="B3:B8">
    <cfRule type="top10" dxfId="44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43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42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41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40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39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38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37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36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C6E6-1032-4BEC-84B3-473E652301EE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3" width="14.6328125" bestFit="1" customWidth="1"/>
    <col min="4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9234576</v>
      </c>
      <c r="C3">
        <v>5.03</v>
      </c>
      <c r="D3">
        <v>9368640</v>
      </c>
      <c r="E3">
        <v>5.1100000000000003</v>
      </c>
      <c r="F3">
        <v>9281987</v>
      </c>
      <c r="G3">
        <v>5.0599999999999996</v>
      </c>
      <c r="H3">
        <v>9382665</v>
      </c>
      <c r="I3">
        <v>5.1100000000000003</v>
      </c>
    </row>
    <row r="4" spans="1:9" x14ac:dyDescent="0.35">
      <c r="A4" t="s">
        <v>1</v>
      </c>
      <c r="B4">
        <v>9225764</v>
      </c>
      <c r="C4">
        <v>5.03</v>
      </c>
      <c r="D4">
        <v>9359508</v>
      </c>
      <c r="E4">
        <v>5.0999999999999996</v>
      </c>
      <c r="F4">
        <v>9273226</v>
      </c>
      <c r="G4">
        <v>5.05</v>
      </c>
      <c r="H4">
        <v>9374399</v>
      </c>
      <c r="I4">
        <v>5.1100000000000003</v>
      </c>
    </row>
    <row r="5" spans="1:9" x14ac:dyDescent="0.35">
      <c r="A5" t="s">
        <v>2</v>
      </c>
      <c r="B5">
        <v>9583501</v>
      </c>
      <c r="C5">
        <v>5.22</v>
      </c>
      <c r="D5">
        <v>9722422</v>
      </c>
      <c r="E5">
        <v>5.3</v>
      </c>
      <c r="F5">
        <v>9629716</v>
      </c>
      <c r="G5">
        <v>5.25</v>
      </c>
      <c r="H5">
        <v>9734028</v>
      </c>
      <c r="I5">
        <v>5.3</v>
      </c>
    </row>
    <row r="6" spans="1:9" x14ac:dyDescent="0.35">
      <c r="A6" t="s">
        <v>3</v>
      </c>
      <c r="B6">
        <v>11019174</v>
      </c>
      <c r="C6">
        <v>6</v>
      </c>
      <c r="D6">
        <v>11059856</v>
      </c>
      <c r="E6">
        <v>6.03</v>
      </c>
      <c r="F6">
        <v>11021158</v>
      </c>
      <c r="G6">
        <v>6.01</v>
      </c>
      <c r="H6">
        <v>11017051</v>
      </c>
      <c r="I6">
        <v>6</v>
      </c>
    </row>
    <row r="7" spans="1:9" x14ac:dyDescent="0.35">
      <c r="A7" t="s">
        <v>4</v>
      </c>
      <c r="B7">
        <v>10415023</v>
      </c>
      <c r="C7">
        <v>5.68</v>
      </c>
      <c r="D7">
        <v>10541535</v>
      </c>
      <c r="E7">
        <v>5.74</v>
      </c>
      <c r="F7">
        <v>10436368</v>
      </c>
      <c r="G7">
        <v>5.69</v>
      </c>
      <c r="H7">
        <v>10484003</v>
      </c>
      <c r="I7">
        <v>5.71</v>
      </c>
    </row>
    <row r="8" spans="1:9" x14ac:dyDescent="0.35">
      <c r="A8" t="s">
        <v>5</v>
      </c>
      <c r="B8">
        <v>10246451</v>
      </c>
      <c r="C8">
        <v>5.58</v>
      </c>
      <c r="D8">
        <v>10300785</v>
      </c>
      <c r="E8">
        <v>5.61</v>
      </c>
      <c r="F8">
        <v>10258832</v>
      </c>
      <c r="G8">
        <v>5.59</v>
      </c>
      <c r="H8">
        <v>10284662</v>
      </c>
      <c r="I8">
        <v>5.6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9316967</v>
      </c>
    </row>
    <row r="12" spans="1:9" x14ac:dyDescent="0.35">
      <c r="A12" t="s">
        <v>1</v>
      </c>
      <c r="B12">
        <f t="shared" ref="B12:B16" si="0">AVERAGEA(B4,D4,F4,H4)</f>
        <v>9308224.25</v>
      </c>
    </row>
    <row r="13" spans="1:9" x14ac:dyDescent="0.35">
      <c r="A13" t="s">
        <v>2</v>
      </c>
      <c r="B13">
        <f t="shared" si="0"/>
        <v>9667416.75</v>
      </c>
    </row>
    <row r="14" spans="1:9" x14ac:dyDescent="0.35">
      <c r="A14" t="s">
        <v>3</v>
      </c>
      <c r="B14">
        <f t="shared" si="0"/>
        <v>11029309.75</v>
      </c>
    </row>
    <row r="15" spans="1:9" x14ac:dyDescent="0.35">
      <c r="A15" t="s">
        <v>4</v>
      </c>
      <c r="B15">
        <f t="shared" si="0"/>
        <v>10469232.25</v>
      </c>
    </row>
    <row r="16" spans="1:9" x14ac:dyDescent="0.35">
      <c r="A16" t="s">
        <v>5</v>
      </c>
      <c r="B16">
        <f t="shared" si="0"/>
        <v>10272682.5</v>
      </c>
    </row>
  </sheetData>
  <mergeCells count="4">
    <mergeCell ref="B1:C1"/>
    <mergeCell ref="D1:E1"/>
    <mergeCell ref="F1:G1"/>
    <mergeCell ref="H1:I1"/>
  </mergeCells>
  <conditionalFormatting sqref="B3:B8">
    <cfRule type="top10" dxfId="35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34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33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32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31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30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29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28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27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7419-8DE8-4108-B577-116FB5B83F6B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3" width="14.6328125" bestFit="1" customWidth="1"/>
    <col min="4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4613532</v>
      </c>
      <c r="C3">
        <v>3.51</v>
      </c>
      <c r="D3">
        <v>4613532</v>
      </c>
      <c r="E3">
        <v>3.51</v>
      </c>
      <c r="F3">
        <v>4613532</v>
      </c>
      <c r="G3">
        <v>3.51</v>
      </c>
      <c r="H3">
        <v>4613532</v>
      </c>
      <c r="I3">
        <v>3.51</v>
      </c>
    </row>
    <row r="4" spans="1:9" x14ac:dyDescent="0.35">
      <c r="A4" t="s">
        <v>1</v>
      </c>
      <c r="B4">
        <v>4593812</v>
      </c>
      <c r="C4">
        <v>3.5</v>
      </c>
      <c r="D4">
        <v>4593812</v>
      </c>
      <c r="E4">
        <v>3.5</v>
      </c>
      <c r="F4">
        <v>4593812</v>
      </c>
      <c r="G4">
        <v>3.5</v>
      </c>
      <c r="H4">
        <v>4593812</v>
      </c>
      <c r="I4">
        <v>3.5</v>
      </c>
    </row>
    <row r="5" spans="1:9" x14ac:dyDescent="0.35">
      <c r="A5" t="s">
        <v>2</v>
      </c>
      <c r="B5">
        <v>4587079</v>
      </c>
      <c r="C5">
        <v>3.49</v>
      </c>
      <c r="D5">
        <v>4587079</v>
      </c>
      <c r="E5">
        <v>3.49</v>
      </c>
      <c r="F5">
        <v>4587079</v>
      </c>
      <c r="G5">
        <v>3.49</v>
      </c>
      <c r="H5">
        <v>4587079</v>
      </c>
      <c r="I5">
        <v>3.49</v>
      </c>
    </row>
    <row r="6" spans="1:9" x14ac:dyDescent="0.35">
      <c r="A6" t="s">
        <v>3</v>
      </c>
      <c r="B6">
        <v>6015469</v>
      </c>
      <c r="C6">
        <v>4.58</v>
      </c>
      <c r="D6">
        <v>6015469</v>
      </c>
      <c r="E6">
        <v>4.58</v>
      </c>
      <c r="F6">
        <v>6015469</v>
      </c>
      <c r="G6">
        <v>4.58</v>
      </c>
      <c r="H6">
        <v>6015469</v>
      </c>
      <c r="I6">
        <v>4.58</v>
      </c>
    </row>
    <row r="7" spans="1:9" x14ac:dyDescent="0.35">
      <c r="A7" t="s">
        <v>4</v>
      </c>
      <c r="B7">
        <v>5232951</v>
      </c>
      <c r="C7">
        <v>3.98</v>
      </c>
      <c r="D7">
        <v>5232951</v>
      </c>
      <c r="E7">
        <v>3.98</v>
      </c>
      <c r="F7">
        <v>5232951</v>
      </c>
      <c r="G7">
        <v>3.98</v>
      </c>
      <c r="H7">
        <v>5232951</v>
      </c>
      <c r="I7">
        <v>3.98</v>
      </c>
    </row>
    <row r="8" spans="1:9" x14ac:dyDescent="0.35">
      <c r="A8" t="s">
        <v>5</v>
      </c>
      <c r="B8">
        <v>5189277</v>
      </c>
      <c r="C8">
        <v>3.95</v>
      </c>
      <c r="D8">
        <v>5189277</v>
      </c>
      <c r="E8">
        <v>3.95</v>
      </c>
      <c r="F8">
        <v>5189277</v>
      </c>
      <c r="G8">
        <v>3.95</v>
      </c>
      <c r="H8">
        <v>5189277</v>
      </c>
      <c r="I8">
        <v>3.95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4613532</v>
      </c>
    </row>
    <row r="12" spans="1:9" x14ac:dyDescent="0.35">
      <c r="A12" t="s">
        <v>1</v>
      </c>
      <c r="B12">
        <f t="shared" ref="B12:B16" si="0">AVERAGEA(B4,D4,F4,H4)</f>
        <v>4593812</v>
      </c>
    </row>
    <row r="13" spans="1:9" x14ac:dyDescent="0.35">
      <c r="A13" t="s">
        <v>2</v>
      </c>
      <c r="B13">
        <f t="shared" si="0"/>
        <v>4587079</v>
      </c>
    </row>
    <row r="14" spans="1:9" x14ac:dyDescent="0.35">
      <c r="A14" t="s">
        <v>3</v>
      </c>
      <c r="B14">
        <f t="shared" si="0"/>
        <v>6015469</v>
      </c>
    </row>
    <row r="15" spans="1:9" x14ac:dyDescent="0.35">
      <c r="A15" t="s">
        <v>4</v>
      </c>
      <c r="B15">
        <f t="shared" si="0"/>
        <v>5232951</v>
      </c>
    </row>
    <row r="16" spans="1:9" x14ac:dyDescent="0.35">
      <c r="A16" t="s">
        <v>5</v>
      </c>
      <c r="B16">
        <f t="shared" si="0"/>
        <v>5189277</v>
      </c>
    </row>
  </sheetData>
  <mergeCells count="4">
    <mergeCell ref="B1:C1"/>
    <mergeCell ref="D1:E1"/>
    <mergeCell ref="F1:G1"/>
    <mergeCell ref="H1:I1"/>
  </mergeCells>
  <conditionalFormatting sqref="B3:B8">
    <cfRule type="top10" dxfId="26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25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24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23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22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21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20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19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18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97F2-69BE-4B5E-AD4C-EB70AA6DB55F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3" width="14.6328125" bestFit="1" customWidth="1"/>
    <col min="4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4081191</v>
      </c>
      <c r="C3">
        <v>2.59</v>
      </c>
      <c r="D3">
        <v>4280209</v>
      </c>
      <c r="E3">
        <v>2.72</v>
      </c>
      <c r="F3">
        <v>4200342</v>
      </c>
      <c r="G3">
        <v>2.67</v>
      </c>
      <c r="H3">
        <v>4355513</v>
      </c>
      <c r="I3">
        <v>2.77</v>
      </c>
    </row>
    <row r="4" spans="1:9" x14ac:dyDescent="0.35">
      <c r="A4" t="s">
        <v>1</v>
      </c>
      <c r="B4">
        <v>4057346</v>
      </c>
      <c r="C4">
        <v>2.58</v>
      </c>
      <c r="D4">
        <v>4256475</v>
      </c>
      <c r="E4">
        <v>2.71</v>
      </c>
      <c r="F4">
        <v>4176546</v>
      </c>
      <c r="G4">
        <v>2.66</v>
      </c>
      <c r="H4">
        <v>4332065</v>
      </c>
      <c r="I4">
        <v>2.75</v>
      </c>
    </row>
    <row r="5" spans="1:9" x14ac:dyDescent="0.35">
      <c r="A5" t="s">
        <v>2</v>
      </c>
      <c r="B5">
        <v>4124460</v>
      </c>
      <c r="C5">
        <v>2.62</v>
      </c>
      <c r="D5">
        <v>4328096</v>
      </c>
      <c r="E5">
        <v>2.75</v>
      </c>
      <c r="F5">
        <v>4242657</v>
      </c>
      <c r="G5">
        <v>2.7</v>
      </c>
      <c r="H5">
        <v>4406380</v>
      </c>
      <c r="I5">
        <v>2.8</v>
      </c>
    </row>
    <row r="6" spans="1:9" x14ac:dyDescent="0.35">
      <c r="A6" t="s">
        <v>3</v>
      </c>
      <c r="B6">
        <v>4894250</v>
      </c>
      <c r="C6">
        <v>3.11</v>
      </c>
      <c r="D6">
        <v>4958233</v>
      </c>
      <c r="E6">
        <v>3.15</v>
      </c>
      <c r="F6">
        <v>4942011</v>
      </c>
      <c r="G6">
        <v>3.14</v>
      </c>
      <c r="H6">
        <v>4983345</v>
      </c>
      <c r="I6">
        <v>3.17</v>
      </c>
    </row>
    <row r="7" spans="1:9" x14ac:dyDescent="0.35">
      <c r="A7" t="s">
        <v>4</v>
      </c>
      <c r="B7">
        <v>4770710</v>
      </c>
      <c r="C7">
        <v>3.03</v>
      </c>
      <c r="D7">
        <v>4951460</v>
      </c>
      <c r="E7">
        <v>3.15</v>
      </c>
      <c r="F7">
        <v>4874729</v>
      </c>
      <c r="G7">
        <v>3.1</v>
      </c>
      <c r="H7">
        <v>5023220</v>
      </c>
      <c r="I7">
        <v>3.19</v>
      </c>
    </row>
    <row r="8" spans="1:9" x14ac:dyDescent="0.35">
      <c r="A8" t="s">
        <v>5</v>
      </c>
      <c r="B8">
        <v>4470410</v>
      </c>
      <c r="C8">
        <v>2.84</v>
      </c>
      <c r="D8">
        <v>4568734</v>
      </c>
      <c r="E8">
        <v>2.9</v>
      </c>
      <c r="F8">
        <v>4534984</v>
      </c>
      <c r="G8">
        <v>2.88</v>
      </c>
      <c r="H8">
        <v>4605027</v>
      </c>
      <c r="I8">
        <v>2.93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4229313.75</v>
      </c>
    </row>
    <row r="12" spans="1:9" x14ac:dyDescent="0.35">
      <c r="A12" t="s">
        <v>1</v>
      </c>
      <c r="B12">
        <f t="shared" ref="B12:B16" si="0">AVERAGEA(B4,D4,F4,H4)</f>
        <v>4205608</v>
      </c>
    </row>
    <row r="13" spans="1:9" x14ac:dyDescent="0.35">
      <c r="A13" t="s">
        <v>2</v>
      </c>
      <c r="B13">
        <f t="shared" si="0"/>
        <v>4275398.25</v>
      </c>
    </row>
    <row r="14" spans="1:9" x14ac:dyDescent="0.35">
      <c r="A14" t="s">
        <v>3</v>
      </c>
      <c r="B14">
        <f t="shared" si="0"/>
        <v>4944459.75</v>
      </c>
    </row>
    <row r="15" spans="1:9" x14ac:dyDescent="0.35">
      <c r="A15" t="s">
        <v>4</v>
      </c>
      <c r="B15">
        <f t="shared" si="0"/>
        <v>4905029.75</v>
      </c>
    </row>
    <row r="16" spans="1:9" x14ac:dyDescent="0.35">
      <c r="A16" t="s">
        <v>5</v>
      </c>
      <c r="B16">
        <f t="shared" si="0"/>
        <v>4544788.75</v>
      </c>
    </row>
  </sheetData>
  <mergeCells count="4">
    <mergeCell ref="B1:C1"/>
    <mergeCell ref="D1:E1"/>
    <mergeCell ref="F1:G1"/>
    <mergeCell ref="H1:I1"/>
  </mergeCells>
  <conditionalFormatting sqref="B3:B8">
    <cfRule type="top10" dxfId="17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16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15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14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13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12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11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10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9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5AA0-DEFE-4F68-9E0B-13449FF324D6}">
  <dimension ref="A1:I16"/>
  <sheetViews>
    <sheetView workbookViewId="0">
      <selection activeCell="B11" sqref="B11:B16"/>
    </sheetView>
  </sheetViews>
  <sheetFormatPr defaultRowHeight="14.5" x14ac:dyDescent="0.35"/>
  <cols>
    <col min="1" max="1" width="48.54296875" bestFit="1" customWidth="1"/>
    <col min="2" max="3" width="14.6328125" bestFit="1" customWidth="1"/>
    <col min="4" max="4" width="11.6328125" bestFit="1" customWidth="1"/>
    <col min="5" max="5" width="14.6328125" bestFit="1" customWidth="1"/>
    <col min="6" max="6" width="11.6328125" bestFit="1" customWidth="1"/>
    <col min="7" max="7" width="14.6328125" bestFit="1" customWidth="1"/>
    <col min="8" max="8" width="11.6328125" bestFit="1" customWidth="1"/>
    <col min="9" max="9" width="14.6328125" bestFit="1" customWidth="1"/>
  </cols>
  <sheetData>
    <row r="1" spans="1:9" x14ac:dyDescent="0.35">
      <c r="A1" s="8"/>
      <c r="B1" s="15" t="s">
        <v>6</v>
      </c>
      <c r="C1" s="15"/>
      <c r="D1" s="16" t="s">
        <v>10</v>
      </c>
      <c r="E1" s="16"/>
      <c r="F1" s="17" t="s">
        <v>11</v>
      </c>
      <c r="G1" s="17"/>
      <c r="H1" s="18" t="s">
        <v>12</v>
      </c>
      <c r="I1" s="19"/>
    </row>
    <row r="2" spans="1:9" ht="15" thickBot="1" x14ac:dyDescent="0.4">
      <c r="A2" s="9" t="s">
        <v>9</v>
      </c>
      <c r="B2" s="2" t="s">
        <v>8</v>
      </c>
      <c r="C2" s="2" t="s">
        <v>7</v>
      </c>
      <c r="D2" s="3" t="s">
        <v>8</v>
      </c>
      <c r="E2" s="3" t="s">
        <v>7</v>
      </c>
      <c r="F2" s="4" t="s">
        <v>8</v>
      </c>
      <c r="G2" s="4" t="s">
        <v>7</v>
      </c>
      <c r="H2" s="5" t="s">
        <v>8</v>
      </c>
      <c r="I2" s="10" t="s">
        <v>7</v>
      </c>
    </row>
    <row r="3" spans="1:9" x14ac:dyDescent="0.35">
      <c r="A3" t="s">
        <v>0</v>
      </c>
      <c r="B3">
        <v>4392549</v>
      </c>
      <c r="C3">
        <v>2.79</v>
      </c>
      <c r="D3">
        <v>4603211</v>
      </c>
      <c r="E3">
        <v>2.93</v>
      </c>
      <c r="F3">
        <v>4495941</v>
      </c>
      <c r="G3">
        <v>2.86</v>
      </c>
      <c r="H3">
        <v>4676802</v>
      </c>
      <c r="I3">
        <v>2.97</v>
      </c>
    </row>
    <row r="4" spans="1:9" x14ac:dyDescent="0.35">
      <c r="A4" t="s">
        <v>1</v>
      </c>
      <c r="B4">
        <v>4367633</v>
      </c>
      <c r="C4">
        <v>2.78</v>
      </c>
      <c r="D4">
        <v>4578106</v>
      </c>
      <c r="E4">
        <v>2.91</v>
      </c>
      <c r="F4">
        <v>4471163</v>
      </c>
      <c r="G4">
        <v>2.84</v>
      </c>
      <c r="H4">
        <v>4652110</v>
      </c>
      <c r="I4">
        <v>2.96</v>
      </c>
    </row>
    <row r="5" spans="1:9" x14ac:dyDescent="0.35">
      <c r="A5" t="s">
        <v>2</v>
      </c>
      <c r="B5">
        <v>4195414</v>
      </c>
      <c r="C5">
        <v>2.67</v>
      </c>
      <c r="D5">
        <v>4392532</v>
      </c>
      <c r="E5">
        <v>2.79</v>
      </c>
      <c r="F5">
        <v>4308883</v>
      </c>
      <c r="G5">
        <v>2.74</v>
      </c>
      <c r="H5">
        <v>4469091</v>
      </c>
      <c r="I5">
        <v>2.84</v>
      </c>
    </row>
    <row r="6" spans="1:9" x14ac:dyDescent="0.35">
      <c r="A6" t="s">
        <v>3</v>
      </c>
      <c r="B6">
        <v>5221931</v>
      </c>
      <c r="C6">
        <v>3.32</v>
      </c>
      <c r="D6">
        <v>5282907</v>
      </c>
      <c r="E6">
        <v>3.36</v>
      </c>
      <c r="F6">
        <v>5268076</v>
      </c>
      <c r="G6">
        <v>3.35</v>
      </c>
      <c r="H6">
        <v>5304779</v>
      </c>
      <c r="I6">
        <v>3.37</v>
      </c>
    </row>
    <row r="7" spans="1:9" x14ac:dyDescent="0.35">
      <c r="A7" t="s">
        <v>4</v>
      </c>
      <c r="B7">
        <v>4686891</v>
      </c>
      <c r="C7">
        <v>2.98</v>
      </c>
      <c r="D7">
        <v>4860629</v>
      </c>
      <c r="E7">
        <v>3.09</v>
      </c>
      <c r="F7">
        <v>4792857</v>
      </c>
      <c r="G7">
        <v>3.05</v>
      </c>
      <c r="H7">
        <v>4932463</v>
      </c>
      <c r="I7">
        <v>3.14</v>
      </c>
    </row>
    <row r="8" spans="1:9" x14ac:dyDescent="0.35">
      <c r="A8" t="s">
        <v>5</v>
      </c>
      <c r="B8">
        <v>4532944</v>
      </c>
      <c r="C8">
        <v>2.88</v>
      </c>
      <c r="D8">
        <v>4626970</v>
      </c>
      <c r="E8">
        <v>2.94</v>
      </c>
      <c r="F8">
        <v>4594707</v>
      </c>
      <c r="G8">
        <v>2.92</v>
      </c>
      <c r="H8">
        <v>4662495</v>
      </c>
      <c r="I8">
        <v>2.96</v>
      </c>
    </row>
    <row r="10" spans="1:9" ht="15" thickBot="1" x14ac:dyDescent="0.4">
      <c r="A10" s="6" t="s">
        <v>9</v>
      </c>
      <c r="B10" s="7" t="s">
        <v>13</v>
      </c>
    </row>
    <row r="11" spans="1:9" x14ac:dyDescent="0.35">
      <c r="A11" t="s">
        <v>0</v>
      </c>
      <c r="B11">
        <f>AVERAGEA(B3,D3,F3,H3)</f>
        <v>4542125.75</v>
      </c>
    </row>
    <row r="12" spans="1:9" x14ac:dyDescent="0.35">
      <c r="A12" t="s">
        <v>1</v>
      </c>
      <c r="B12">
        <f t="shared" ref="B12:B16" si="0">AVERAGEA(B4,D4,F4,H4)</f>
        <v>4517253</v>
      </c>
    </row>
    <row r="13" spans="1:9" x14ac:dyDescent="0.35">
      <c r="A13" t="s">
        <v>2</v>
      </c>
      <c r="B13">
        <f t="shared" si="0"/>
        <v>4341480</v>
      </c>
    </row>
    <row r="14" spans="1:9" x14ac:dyDescent="0.35">
      <c r="A14" t="s">
        <v>3</v>
      </c>
      <c r="B14">
        <f t="shared" si="0"/>
        <v>5269423.25</v>
      </c>
    </row>
    <row r="15" spans="1:9" x14ac:dyDescent="0.35">
      <c r="A15" t="s">
        <v>4</v>
      </c>
      <c r="B15">
        <f t="shared" si="0"/>
        <v>4818210</v>
      </c>
    </row>
    <row r="16" spans="1:9" x14ac:dyDescent="0.35">
      <c r="A16" t="s">
        <v>5</v>
      </c>
      <c r="B16">
        <f t="shared" si="0"/>
        <v>4604279</v>
      </c>
    </row>
  </sheetData>
  <mergeCells count="4">
    <mergeCell ref="B1:C1"/>
    <mergeCell ref="D1:E1"/>
    <mergeCell ref="F1:G1"/>
    <mergeCell ref="H1:I1"/>
  </mergeCells>
  <conditionalFormatting sqref="B3:B8">
    <cfRule type="top10" dxfId="8" priority="17" bottom="1" rank="1"/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1:B16">
    <cfRule type="top10" dxfId="7" priority="1" bottom="1" rank="1"/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8">
    <cfRule type="top10" dxfId="6" priority="15" bottom="1" rank="1"/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:D8">
    <cfRule type="top10" dxfId="5" priority="13" bottom="1" rank="1"/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8">
    <cfRule type="top10" dxfId="4" priority="11" bottom="1" rank="1"/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:F8">
    <cfRule type="top10" dxfId="3" priority="9" bottom="1" rank="1"/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:G8">
    <cfRule type="top10" dxfId="2" priority="7" bottom="1" rank="1"/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H8">
    <cfRule type="top10" dxfId="1" priority="5" bottom="1" rank="1"/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8">
    <cfRule type="top10" dxfId="0" priority="3" bottom="1" rank="1"/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8868D2-E40A-4079-A076-2C099F88F1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Average</vt:lpstr>
      <vt:lpstr>Pelican</vt:lpstr>
      <vt:lpstr>Citron</vt:lpstr>
      <vt:lpstr>masa512</vt:lpstr>
      <vt:lpstr>poupe.jpg</vt:lpstr>
      <vt:lpstr>zmrzka.jpg</vt:lpstr>
      <vt:lpstr>egsr1.png</vt:lpstr>
      <vt:lpstr>bottles</vt:lpstr>
      <vt:lpstr>bottlesRotated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Jakub Rollo</cp:lastModifiedBy>
  <dcterms:created xsi:type="dcterms:W3CDTF">2015-06-05T18:19:34Z</dcterms:created>
  <dcterms:modified xsi:type="dcterms:W3CDTF">2023-11-13T22:05:01Z</dcterms:modified>
</cp:coreProperties>
</file>